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zuccarelli/SW/Knotch/project-mashua/process/development/desarrolloAMedida/"/>
    </mc:Choice>
  </mc:AlternateContent>
  <xr:revisionPtr revIDLastSave="0" documentId="8_{A56F7939-60FE-7644-BF6E-5BE13EC6E211}" xr6:coauthVersionLast="47" xr6:coauthVersionMax="47" xr10:uidLastSave="{00000000-0000-0000-0000-000000000000}"/>
  <bookViews>
    <workbookView xWindow="0" yWindow="600" windowWidth="38400" windowHeight="19200" xr2:uid="{D5541DD3-C55B-B348-BA95-9A60C6D0BFEE}"/>
  </bookViews>
  <sheets>
    <sheet name="Roadmap" sheetId="31" r:id="rId1"/>
    <sheet name="Roadmap (old)" sheetId="27" state="hidden" r:id="rId2"/>
    <sheet name="Sheet1" sheetId="29" state="hidden" r:id="rId3"/>
  </sheets>
  <definedNames>
    <definedName name="Holidays" localSheetId="0">#REF!</definedName>
    <definedName name="Holidays" localSheetId="1">#REF!</definedName>
    <definedName name="Holidays">#REF!</definedName>
    <definedName name="ProjectDays" localSheetId="0">#REF!</definedName>
    <definedName name="ProjectDays" localSheetId="1">#REF!</definedName>
    <definedName name="ProjectDay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1" l="1"/>
  <c r="F16" i="31" s="1"/>
  <c r="C5" i="31"/>
  <c r="D4" i="31"/>
  <c r="C3" i="31"/>
  <c r="D1" i="31"/>
  <c r="E1" i="31" s="1"/>
  <c r="F1" i="31" s="1"/>
  <c r="G1" i="31" s="1"/>
  <c r="H1" i="31" s="1"/>
  <c r="I1" i="31" s="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T1" i="31" s="1"/>
  <c r="U1" i="31" s="1"/>
  <c r="V1" i="31" s="1"/>
  <c r="W1" i="31" s="1"/>
  <c r="X1" i="31" s="1"/>
  <c r="Y1" i="31" s="1"/>
  <c r="Z1" i="31" s="1"/>
  <c r="AA1" i="31" s="1"/>
  <c r="D1" i="27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F15" i="31" l="1"/>
  <c r="D3" i="31"/>
  <c r="E4" i="31"/>
  <c r="D5" i="31"/>
  <c r="C5" i="27"/>
  <c r="C3" i="27"/>
  <c r="E3" i="31" l="1"/>
  <c r="F4" i="31"/>
  <c r="E5" i="31"/>
  <c r="D4" i="27"/>
  <c r="F3" i="31" l="1"/>
  <c r="G4" i="31"/>
  <c r="F5" i="31"/>
  <c r="E4" i="27"/>
  <c r="E3" i="27" s="1"/>
  <c r="D3" i="27"/>
  <c r="D5" i="27"/>
  <c r="H4" i="31" l="1"/>
  <c r="G5" i="31"/>
  <c r="G3" i="31"/>
  <c r="E5" i="27"/>
  <c r="F4" i="27"/>
  <c r="G4" i="27" s="1"/>
  <c r="H5" i="31" l="1"/>
  <c r="H3" i="31"/>
  <c r="I4" i="31"/>
  <c r="G3" i="27"/>
  <c r="G5" i="27"/>
  <c r="H4" i="27"/>
  <c r="F3" i="27"/>
  <c r="F5" i="27"/>
  <c r="I5" i="31" l="1"/>
  <c r="I3" i="31"/>
  <c r="J4" i="31"/>
  <c r="H3" i="27"/>
  <c r="H5" i="27"/>
  <c r="I4" i="27"/>
  <c r="K4" i="31" l="1"/>
  <c r="J5" i="31"/>
  <c r="J3" i="31"/>
  <c r="I3" i="27"/>
  <c r="I5" i="27"/>
  <c r="J4" i="27"/>
  <c r="K3" i="31" l="1"/>
  <c r="K5" i="31"/>
  <c r="L4" i="31"/>
  <c r="J3" i="27"/>
  <c r="J5" i="27"/>
  <c r="K4" i="27"/>
  <c r="L3" i="31" l="1"/>
  <c r="M4" i="31"/>
  <c r="L5" i="31"/>
  <c r="K3" i="27"/>
  <c r="K5" i="27"/>
  <c r="L4" i="27"/>
  <c r="M3" i="31" l="1"/>
  <c r="N4" i="31"/>
  <c r="M5" i="31"/>
  <c r="L3" i="27"/>
  <c r="L5" i="27"/>
  <c r="M4" i="27"/>
  <c r="N3" i="31" l="1"/>
  <c r="O4" i="31"/>
  <c r="N5" i="31"/>
  <c r="M3" i="27"/>
  <c r="M5" i="27"/>
  <c r="N4" i="27"/>
  <c r="P4" i="31" l="1"/>
  <c r="O5" i="31"/>
  <c r="O3" i="31"/>
  <c r="N3" i="27"/>
  <c r="N5" i="27"/>
  <c r="O4" i="27"/>
  <c r="P5" i="31" l="1"/>
  <c r="P3" i="31"/>
  <c r="Q4" i="31"/>
  <c r="O3" i="27"/>
  <c r="O5" i="27"/>
  <c r="P4" i="27"/>
  <c r="Q5" i="31" l="1"/>
  <c r="Q3" i="31"/>
  <c r="R4" i="31"/>
  <c r="P3" i="27"/>
  <c r="P5" i="27"/>
  <c r="Q4" i="27"/>
  <c r="S4" i="31" l="1"/>
  <c r="R5" i="31"/>
  <c r="R3" i="31"/>
  <c r="R4" i="27"/>
  <c r="Q3" i="27"/>
  <c r="Q5" i="27"/>
  <c r="S3" i="31" l="1"/>
  <c r="S5" i="31"/>
  <c r="T4" i="31"/>
  <c r="S4" i="27"/>
  <c r="T4" i="27" s="1"/>
  <c r="R5" i="27"/>
  <c r="R3" i="27"/>
  <c r="T3" i="31" l="1"/>
  <c r="U4" i="31"/>
  <c r="T5" i="31"/>
  <c r="T3" i="27"/>
  <c r="U4" i="27"/>
  <c r="T5" i="27"/>
  <c r="S3" i="27"/>
  <c r="S5" i="27"/>
  <c r="U3" i="31" l="1"/>
  <c r="V4" i="31"/>
  <c r="U5" i="31"/>
  <c r="U3" i="27"/>
  <c r="V4" i="27"/>
  <c r="U5" i="27"/>
  <c r="V3" i="31" l="1"/>
  <c r="W4" i="31"/>
  <c r="V5" i="31"/>
  <c r="V3" i="27"/>
  <c r="W4" i="27"/>
  <c r="V5" i="27"/>
  <c r="X4" i="31" l="1"/>
  <c r="W5" i="31"/>
  <c r="W3" i="31"/>
  <c r="W3" i="27"/>
  <c r="X4" i="27"/>
  <c r="W5" i="27"/>
  <c r="X5" i="31" l="1"/>
  <c r="X3" i="31"/>
  <c r="Y4" i="31"/>
  <c r="X3" i="27"/>
  <c r="Y4" i="27"/>
  <c r="X5" i="27"/>
  <c r="Y5" i="31" l="1"/>
  <c r="Y3" i="31"/>
  <c r="Z4" i="31"/>
  <c r="Z4" i="27"/>
  <c r="Y3" i="27"/>
  <c r="Y5" i="27"/>
  <c r="AA4" i="31" l="1"/>
  <c r="Z5" i="31"/>
  <c r="Z3" i="31"/>
  <c r="AA4" i="27"/>
  <c r="Z3" i="27"/>
  <c r="Z5" i="27"/>
  <c r="AA3" i="31" l="1"/>
  <c r="AA5" i="31"/>
  <c r="AB4" i="31"/>
  <c r="AA3" i="27"/>
  <c r="AA5" i="27"/>
  <c r="AB4" i="27"/>
  <c r="AB3" i="31" l="1"/>
  <c r="AC4" i="31"/>
  <c r="AB5" i="31"/>
  <c r="AC4" i="27"/>
  <c r="AB3" i="27"/>
  <c r="AB5" i="27"/>
  <c r="AC3" i="31" l="1"/>
  <c r="AD4" i="31"/>
  <c r="AC5" i="31"/>
  <c r="AD4" i="27"/>
  <c r="AC3" i="27"/>
  <c r="AC5" i="27"/>
  <c r="AD3" i="31" l="1"/>
  <c r="AE4" i="31"/>
  <c r="AD5" i="31"/>
  <c r="AD3" i="27"/>
  <c r="AD5" i="27"/>
  <c r="AE4" i="27"/>
  <c r="AF4" i="31" l="1"/>
  <c r="AE5" i="31"/>
  <c r="AE3" i="31"/>
  <c r="AE5" i="27"/>
  <c r="AF4" i="27"/>
  <c r="AE3" i="27"/>
  <c r="AF5" i="31" l="1"/>
  <c r="AF3" i="31"/>
  <c r="AG4" i="31"/>
  <c r="AF5" i="27"/>
  <c r="AG4" i="27"/>
  <c r="AF3" i="27"/>
  <c r="AG5" i="31" l="1"/>
  <c r="AG3" i="31"/>
  <c r="AH4" i="31"/>
  <c r="AG5" i="27"/>
  <c r="AH4" i="27"/>
  <c r="AG3" i="27"/>
  <c r="AI4" i="31" l="1"/>
  <c r="AH5" i="31"/>
  <c r="AH3" i="31"/>
  <c r="AH5" i="27"/>
  <c r="AI4" i="27"/>
  <c r="AH3" i="27"/>
  <c r="AI3" i="31" l="1"/>
  <c r="AI5" i="31"/>
  <c r="AJ4" i="31"/>
  <c r="AI5" i="27"/>
  <c r="AJ4" i="27"/>
  <c r="AI3" i="27"/>
  <c r="AJ3" i="31" l="1"/>
  <c r="AK4" i="31"/>
  <c r="AJ5" i="31"/>
  <c r="AJ5" i="27"/>
  <c r="AK4" i="27"/>
  <c r="AJ3" i="27"/>
  <c r="AK3" i="31" l="1"/>
  <c r="AL4" i="31"/>
  <c r="AK5" i="31"/>
  <c r="AK3" i="27"/>
  <c r="AK5" i="27"/>
  <c r="AL4" i="27"/>
  <c r="AL3" i="31" l="1"/>
  <c r="AM4" i="31"/>
  <c r="AL5" i="31"/>
  <c r="AL3" i="27"/>
  <c r="AL5" i="27"/>
  <c r="AM4" i="27"/>
  <c r="AN4" i="31" l="1"/>
  <c r="AM5" i="31"/>
  <c r="AM3" i="31"/>
  <c r="AM3" i="27"/>
  <c r="AM5" i="27"/>
  <c r="AN4" i="27"/>
  <c r="AN5" i="31" l="1"/>
  <c r="AN3" i="31"/>
  <c r="AO4" i="31"/>
  <c r="AO4" i="27"/>
  <c r="AN3" i="27"/>
  <c r="AN5" i="27"/>
  <c r="AO5" i="31" l="1"/>
  <c r="AO3" i="31"/>
  <c r="AP4" i="31"/>
  <c r="AP4" i="27"/>
  <c r="AO5" i="27"/>
  <c r="AO3" i="27"/>
  <c r="AQ4" i="31" l="1"/>
  <c r="AP5" i="31"/>
  <c r="AP3" i="31"/>
  <c r="AQ4" i="27"/>
  <c r="AP3" i="27"/>
  <c r="AP5" i="27"/>
  <c r="AQ3" i="31" l="1"/>
  <c r="AQ5" i="31"/>
  <c r="AR4" i="31"/>
  <c r="AR4" i="27"/>
  <c r="AQ3" i="27"/>
  <c r="AQ5" i="27"/>
  <c r="AR3" i="31" l="1"/>
  <c r="AS4" i="31"/>
  <c r="AR5" i="31"/>
  <c r="AR3" i="27"/>
  <c r="AR5" i="27"/>
  <c r="AS4" i="27"/>
  <c r="AS3" i="31" l="1"/>
  <c r="AT4" i="31"/>
  <c r="AS5" i="31"/>
  <c r="AS3" i="27"/>
  <c r="AS5" i="27"/>
  <c r="AT4" i="27"/>
  <c r="AT3" i="31" l="1"/>
  <c r="AU4" i="31"/>
  <c r="AT5" i="31"/>
  <c r="AT3" i="27"/>
  <c r="AT5" i="27"/>
  <c r="AU4" i="27"/>
  <c r="AV4" i="31" l="1"/>
  <c r="AU5" i="31"/>
  <c r="AU3" i="31"/>
  <c r="AU3" i="27"/>
  <c r="AU5" i="27"/>
  <c r="AV4" i="27"/>
  <c r="AV5" i="31" l="1"/>
  <c r="AV3" i="31"/>
  <c r="AW4" i="31"/>
  <c r="AV3" i="27"/>
  <c r="AV5" i="27"/>
  <c r="AW4" i="27"/>
  <c r="AW5" i="31" l="1"/>
  <c r="AW3" i="31"/>
  <c r="AW3" i="27"/>
  <c r="AW5" i="27"/>
</calcChain>
</file>

<file path=xl/sharedStrings.xml><?xml version="1.0" encoding="utf-8"?>
<sst xmlns="http://schemas.openxmlformats.org/spreadsheetml/2006/main" count="202" uniqueCount="154">
  <si>
    <t>Sprint 0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</si>
  <si>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</si>
  <si>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</si>
  <si>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</si>
  <si>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</si>
  <si>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</si>
  <si>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</si>
  <si>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</si>
  <si>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</si>
  <si>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</si>
  <si>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</si>
  <si>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</si>
  <si>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</si>
  <si>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</si>
  <si>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</si>
  <si>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</si>
  <si>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</si>
  <si>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</si>
  <si>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</si>
  <si>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</si>
  <si>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</si>
  <si>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</si>
  <si>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</si>
  <si>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</si>
  <si>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</si>
  <si>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</si>
  <si>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</si>
  <si>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</si>
  <si>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</si>
  <si>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</si>
  <si>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</si>
  <si>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</si>
  <si>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</si>
  <si>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</si>
  <si>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</si>
  <si>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</si>
  <si>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</si>
  <si>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</si>
  <si>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Sprint 38</t>
  </si>
  <si>
    <t>Sprint 39</t>
  </si>
  <si>
    <t>Sprint 40</t>
  </si>
  <si>
    <t>Sprint 41</t>
  </si>
  <si>
    <t>Sprint 42</t>
  </si>
  <si>
    <t>Sprint 43</t>
  </si>
  <si>
    <t>Sprint 44</t>
  </si>
  <si>
    <t>Sprint 45</t>
  </si>
  <si>
    <t>Sprint 46</t>
  </si>
  <si>
    <t>Fireteam #1
(3-dev team)</t>
  </si>
  <si>
    <t>Onboarding</t>
  </si>
  <si>
    <t>x</t>
  </si>
  <si>
    <t>M#1 - Azure Infrastructure</t>
  </si>
  <si>
    <t>M#2 - Cost &amp; Performance Optimization and GRC Strategy</t>
  </si>
  <si>
    <t>M#3 - AWS to Azure Customer Migration Strategy</t>
  </si>
  <si>
    <t>M#4 - Execute Customer Migration from AWS to Azure</t>
  </si>
  <si>
    <t>Understand current Azure architecture, compare it with AWS</t>
  </si>
  <si>
    <t>Azure Landing Zone 
(Management Groups, Subscriptions, RBAC, Network Topology, DNS, Routing)</t>
  </si>
  <si>
    <t>Modify Terraform/OpenTofu code for deploying services in Azure</t>
  </si>
  <si>
    <t>Replace AWS services not available in Azure (e.g.: Cert Manager)</t>
  </si>
  <si>
    <t>Identify cost improvement opportunities and implement changes (includes spikes/POCs)</t>
  </si>
  <si>
    <t>Execute performance testing, implement fixes/modifications to address performance issues</t>
  </si>
  <si>
    <t>Implement cloud-to-cloud connectivity
(S2S VPN, ExpressRoute)</t>
  </si>
  <si>
    <t>Design and implement data migration strategy for all relevants data stores (Aurora, S3, Databricks)</t>
  </si>
  <si>
    <t>Execute migration dry-run for representative customer; adjust based on findings</t>
  </si>
  <si>
    <t>Migrate customers from AWS to Azure
Work with Altana to validate that the solution is working as expected
Monitor platform, both during the migration and after it's completed</t>
  </si>
  <si>
    <t>Modify application deployment scripts 
(Kubernetes, AzFunc, others)</t>
  </si>
  <si>
    <r>
      <t xml:space="preserve">Deploy Databricks in Azure
</t>
    </r>
    <r>
      <rPr>
        <u/>
        <sz val="10"/>
        <color rgb="FF000000"/>
        <rFont val="Poppins Regular"/>
      </rPr>
      <t>OR</t>
    </r>
    <r>
      <rPr>
        <sz val="10"/>
        <color rgb="FF000000"/>
        <rFont val="Poppins Regular"/>
      </rPr>
      <t xml:space="preserve">
Connect with Databricks in AWS</t>
    </r>
  </si>
  <si>
    <t>Configure Azure Policies (FedRAMP High, DoD IL5)</t>
  </si>
  <si>
    <t>Iterate over Azure Policies findings; fix issues or mark them as false positives with justification</t>
  </si>
  <si>
    <t>Identify compute and data components involved in the migration</t>
  </si>
  <si>
    <t>Implement scripts for migrating services and applications (deployment in AKS and AzFunc, among others)</t>
  </si>
  <si>
    <t>Implement traffic shifting from AWS to Azure</t>
  </si>
  <si>
    <t>Design migration rollback plan</t>
  </si>
  <si>
    <t>Signal Scienses as Firewall</t>
  </si>
  <si>
    <t>They have it as a module in nginx</t>
  </si>
  <si>
    <t>They are not considering going out of it in the short term</t>
  </si>
  <si>
    <t>CDN Not Mandatory</t>
  </si>
  <si>
    <t>Kafka, need to explore</t>
  </si>
  <si>
    <t>Functions -&gt; Containers</t>
  </si>
  <si>
    <t>Azure Batch</t>
  </si>
  <si>
    <t>Sprint 47</t>
  </si>
  <si>
    <t>Sprint 48</t>
  </si>
  <si>
    <t>Sprint 49</t>
  </si>
  <si>
    <t>Sprint 50</t>
  </si>
  <si>
    <t>Sprint 51</t>
  </si>
  <si>
    <t>Sprint 52</t>
  </si>
  <si>
    <t>Sprint 53</t>
  </si>
  <si>
    <t>Sprint 54</t>
  </si>
  <si>
    <t>Sprint 55</t>
  </si>
  <si>
    <t>Sprint 56</t>
  </si>
  <si>
    <t>Sprint 57</t>
  </si>
  <si>
    <t>Sprint 58</t>
  </si>
  <si>
    <t>Sprint 59</t>
  </si>
  <si>
    <t>Sprint 60</t>
  </si>
  <si>
    <t>Sprint 61</t>
  </si>
  <si>
    <t>Sprint 62</t>
  </si>
  <si>
    <t>Sprint 63</t>
  </si>
  <si>
    <t>Sprint 64</t>
  </si>
  <si>
    <t>Sprint 65</t>
  </si>
  <si>
    <t>Sprint 66</t>
  </si>
  <si>
    <t>Sprint 67</t>
  </si>
  <si>
    <t>Sprint 68</t>
  </si>
  <si>
    <t>Sprint 69</t>
  </si>
  <si>
    <t>Sprint 70</t>
  </si>
  <si>
    <t>Sprint 71</t>
  </si>
  <si>
    <t>Sprint 72</t>
  </si>
  <si>
    <t>Sprint 73</t>
  </si>
  <si>
    <t>Sprint 74</t>
  </si>
  <si>
    <t>Sprint 75</t>
  </si>
  <si>
    <t>Sprint 76</t>
  </si>
  <si>
    <t>Sprint 77</t>
  </si>
  <si>
    <t>Sprint 78</t>
  </si>
  <si>
    <t>Sprint 79</t>
  </si>
  <si>
    <t>Sprint 80</t>
  </si>
  <si>
    <t>Sprint 81</t>
  </si>
  <si>
    <t>Sprint 82</t>
  </si>
  <si>
    <t>Sprint 83</t>
  </si>
  <si>
    <t>Sprint 84</t>
  </si>
  <si>
    <t>Sprint 85</t>
  </si>
  <si>
    <t>Sprint 86</t>
  </si>
  <si>
    <t>Sprint 87</t>
  </si>
  <si>
    <t>Sprint 88</t>
  </si>
  <si>
    <t>Sprint 89</t>
  </si>
  <si>
    <t>Sprint 90</t>
  </si>
  <si>
    <t>Sprint 91</t>
  </si>
  <si>
    <t>Sprint 92</t>
  </si>
  <si>
    <t>Sprint 93</t>
  </si>
  <si>
    <t>Sprint 94</t>
  </si>
  <si>
    <t>Sprint 95</t>
  </si>
  <si>
    <t>Sprint 96</t>
  </si>
  <si>
    <t>Sprint 97</t>
  </si>
  <si>
    <t>Sprint 98</t>
  </si>
  <si>
    <t>Sprint 99</t>
  </si>
  <si>
    <t>Sprint 100</t>
  </si>
  <si>
    <t>Sprint 101</t>
  </si>
  <si>
    <t>Sprint 102</t>
  </si>
  <si>
    <t>TOTAL FT WEEKS</t>
  </si>
  <si>
    <t>AKS Cluster Setup
(Helm Charts, Add-ons, adapt to deploy in Azure)</t>
  </si>
  <si>
    <t>Azure Infrastructure Deployment
(Networking, Storage, ACR, Service Bus, EventHubs, CosmosDB, AKS Cluster, DNS Zones)</t>
  </si>
  <si>
    <t>Azure VPN Setup with OpenVPN</t>
  </si>
  <si>
    <t>Azure Landing Zone Baseline
(Subscriptions, Entra ID with GCP SSO, RBAC)</t>
  </si>
  <si>
    <t>Configure build pipelines to publish images to ACR</t>
  </si>
  <si>
    <t>Azure Databricks Workspace setup &amp; configuration</t>
  </si>
  <si>
    <t>Configure Snowflake and DBT in Azure Databricks.
Deploy data workloads</t>
  </si>
  <si>
    <t>Connect Databricks with Azure dependencies 
(Azure Storage, RabbitMQ through Service Bus)</t>
  </si>
  <si>
    <t>Testing, Feedback, Stabilization</t>
  </si>
  <si>
    <t>AWS ArgoCD - Configuration for deployment to Azure</t>
  </si>
  <si>
    <t>Setup Deployment Pipelines
(Terraform, GitHub Actions)</t>
  </si>
  <si>
    <t>FT Price</t>
  </si>
  <si>
    <t>DevCrew Price</t>
  </si>
  <si>
    <t>Adapt codebase to consume Azure services
(Service Bus, Blob Storage, others)</t>
  </si>
  <si>
    <t>OpenAI Models Deployment</t>
  </si>
  <si>
    <t>Athena PG and Midgar PG deployment in Azure Database for PostgreSQL</t>
  </si>
  <si>
    <r>
      <t xml:space="preserve">Messaging Services Replacement
</t>
    </r>
    <r>
      <rPr>
        <sz val="7"/>
        <color rgb="FF000000"/>
        <rFont val="Poppins Regular"/>
      </rPr>
      <t>Kafka-&gt;Event Hubs
RabbitMQ -&gt; Service Bus
(Codebase remains as-is)</t>
    </r>
  </si>
  <si>
    <t>DevCrew #1
(2-dev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</si>
</sst>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dd\-mmm\-yy;@"/>
    <numFmt numFmtId="166" formatCode="_(* #,##0_);_(* \(#,##0\);_(* &quot;-&quot;??_);_(@_)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Poppins Regular"/>
    </font>
    <font>
      <b/>
      <sz val="10"/>
      <color theme="0"/>
      <name val="Poppins Regular"/>
    </font>
    <font>
      <sz val="10"/>
      <name val="Poppins Regular"/>
    </font>
    <font>
      <sz val="9"/>
      <color theme="1"/>
      <name val="Calibri"/>
      <family val="2"/>
      <scheme val="minor"/>
    </font>
    <font>
      <sz val="10"/>
      <color theme="1"/>
      <name val="Poppins Regula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Poppins Regular"/>
    </font>
    <font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"/>
      <color rgb="FF000000"/>
      <name val="Poppins Regular"/>
    </font>
    <font>
      <sz val="12"/>
      <color rgb="FF000000"/>
      <name val="Poppins Regular"/>
    </font>
    <font>
      <sz val="11"/>
      <color theme="1"/>
      <name val="Poppins Regular"/>
    </font>
    <font>
      <sz val="12"/>
      <color theme="1"/>
      <name val="Poppins Regular"/>
    </font>
    <font>
      <u/>
      <sz val="10"/>
      <color rgb="FF000000"/>
      <name val="Poppins Regular"/>
    </font>
    <font>
      <b/>
      <sz val="12"/>
      <color rgb="FF000000"/>
      <name val="Poppins Regular"/>
    </font>
    <font>
      <b/>
      <sz val="12"/>
      <color theme="1"/>
      <name val="Poppins Regular"/>
    </font>
    <font>
      <b/>
      <sz val="10"/>
      <color theme="1"/>
      <name val="Poppins Regular"/>
    </font>
    <font>
      <b/>
      <sz val="9"/>
      <color theme="1"/>
      <name val="Calibri"/>
      <family val="2"/>
      <scheme val="minor"/>
    </font>
    <font>
      <sz val="9"/>
      <color theme="0"/>
      <name val="Poppins Regular"/>
    </font>
    <font>
      <sz val="8"/>
      <color theme="1"/>
      <name val="Poppins Regular"/>
    </font>
    <font>
      <sz val="8"/>
      <color rgb="FF000000"/>
      <name val="Poppins Regular"/>
    </font>
    <font>
      <sz val="7"/>
      <color rgb="FF000000"/>
      <name val="Poppins Regular"/>
    </font>
  </fonts>
  <fills count="12">
    <fill>
      <patternFill patternType="none"/>
    </fill>
    <fill>
      <patternFill patternType="gray125"/>
    </fill>
    <fill>
      <patternFill patternType="solid">
        <fgColor rgb="FF13322B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FAE2D5"/>
      </patternFill>
    </fill>
    <fill>
      <patternFill patternType="solid">
        <fgColor rgb="FFE0D290"/>
        <bgColor rgb="FFE0D29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FE1D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FC4C0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C4C0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C4C02"/>
      </right>
      <top/>
      <bottom style="thin">
        <color indexed="64"/>
      </bottom>
      <diagonal/>
    </border>
    <border>
      <left style="thin">
        <color indexed="64"/>
      </left>
      <right style="thin">
        <color rgb="FFFC4C0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4" fontId="5" fillId="0" borderId="0" xfId="3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6" fillId="0" borderId="5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164" fontId="0" fillId="0" borderId="0" xfId="3" applyFont="1" applyAlignment="1">
      <alignment vertical="center"/>
    </xf>
    <xf numFmtId="2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9" fillId="4" borderId="9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4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166" fontId="5" fillId="0" borderId="0" xfId="4" applyNumberFormat="1" applyFont="1" applyAlignment="1">
      <alignment vertical="center"/>
    </xf>
    <xf numFmtId="0" fontId="22" fillId="7" borderId="5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165" fontId="21" fillId="2" borderId="18" xfId="0" applyNumberFormat="1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</cellXfs>
  <cellStyles count="5">
    <cellStyle name="Comma" xfId="4" builtinId="3"/>
    <cellStyle name="Currency" xfId="3" builtinId="4"/>
    <cellStyle name="Normal" xfId="0" builtinId="0"/>
    <cellStyle name="Normal 2" xfId="1" xr:uid="{28B24DC4-21A9-43D4-8359-91B669302F31}"/>
    <cellStyle name="Percent 2" xfId="2" xr:uid="{FA9FC23B-BDD2-460E-BE41-898B73CFD1DB}"/>
  </cellStyles>
  <dxfs count="0"/>
  <tableStyles count="0" defaultTableStyle="TableStyleMedium2" defaultPivotStyle="PivotStyleLight16"/>
  <colors>
    <mruColors>
      <color rgb="FFFFAD55"/>
      <color rgb="FFFF8C16"/>
      <color rgb="FF99DDFF"/>
      <color rgb="FFAFE1D5"/>
      <color rgb="FFFC4C02"/>
      <color rgb="FFECBAA8"/>
      <color rgb="FF7FDFA7"/>
      <color rgb="FFF3E9E2"/>
      <color rgb="FF6600FF"/>
      <color rgb="FF90F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5A22-E80A-6441-9F40-1E3A00D4DB68}">
  <dimension ref="B1:DA24"/>
  <sheetViews>
    <sheetView showGridLines="0" tabSelected="1" zoomScale="150" zoomScaleNormal="100" workbookViewId="0">
      <selection activeCell="B22" sqref="B22"/>
    </sheetView>
  </sheetViews>
  <sheetFormatPr baseColWidth="10" defaultColWidth="8.6640625" defaultRowHeight="16" x14ac:dyDescent="0.2"/>
  <cols>
    <col min="1" max="1" width="1.6640625" style="2" customWidth="1"/>
    <col min="2" max="3" width="13.5" style="2" customWidth="1"/>
    <col min="4" max="4" width="13.5" style="1" customWidth="1"/>
    <col min="5" max="5" width="16.33203125" style="1" customWidth="1"/>
    <col min="6" max="21" width="13.5" style="1" customWidth="1"/>
    <col min="22" max="72" width="13.5" style="2" customWidth="1"/>
    <col min="73" max="16384" width="8.6640625" style="2"/>
  </cols>
  <sheetData>
    <row r="1" spans="2:105" s="1" customFormat="1" ht="20" customHeight="1" x14ac:dyDescent="0.2">
      <c r="C1" s="20">
        <v>46027</v>
      </c>
      <c r="D1" s="20">
        <f>C1+7+4</f>
        <v>46038</v>
      </c>
      <c r="E1" s="20">
        <f>D1+7</f>
        <v>46045</v>
      </c>
      <c r="F1" s="20">
        <f t="shared" ref="F1:AA1" si="0">E1+7</f>
        <v>46052</v>
      </c>
      <c r="G1" s="20">
        <f t="shared" si="0"/>
        <v>46059</v>
      </c>
      <c r="H1" s="20">
        <f t="shared" si="0"/>
        <v>46066</v>
      </c>
      <c r="I1" s="20">
        <f t="shared" si="0"/>
        <v>46073</v>
      </c>
      <c r="J1" s="20">
        <f t="shared" si="0"/>
        <v>46080</v>
      </c>
      <c r="K1" s="20">
        <f t="shared" si="0"/>
        <v>46087</v>
      </c>
      <c r="L1" s="20">
        <f t="shared" si="0"/>
        <v>46094</v>
      </c>
      <c r="M1" s="20">
        <f t="shared" si="0"/>
        <v>46101</v>
      </c>
      <c r="N1" s="20">
        <f t="shared" si="0"/>
        <v>46108</v>
      </c>
      <c r="O1" s="20">
        <f t="shared" si="0"/>
        <v>46115</v>
      </c>
      <c r="P1" s="20">
        <f t="shared" si="0"/>
        <v>46122</v>
      </c>
      <c r="Q1" s="20">
        <f t="shared" si="0"/>
        <v>46129</v>
      </c>
      <c r="R1" s="20">
        <f t="shared" si="0"/>
        <v>46136</v>
      </c>
      <c r="S1" s="20">
        <f t="shared" si="0"/>
        <v>46143</v>
      </c>
      <c r="T1" s="20">
        <f t="shared" si="0"/>
        <v>46150</v>
      </c>
      <c r="U1" s="20">
        <f t="shared" si="0"/>
        <v>46157</v>
      </c>
      <c r="V1" s="20">
        <f t="shared" si="0"/>
        <v>46164</v>
      </c>
      <c r="W1" s="20">
        <f t="shared" si="0"/>
        <v>46171</v>
      </c>
      <c r="X1" s="20">
        <f t="shared" si="0"/>
        <v>46178</v>
      </c>
      <c r="Y1" s="20">
        <f t="shared" si="0"/>
        <v>46185</v>
      </c>
      <c r="Z1" s="20">
        <f t="shared" si="0"/>
        <v>46192</v>
      </c>
      <c r="AA1" s="20">
        <f t="shared" si="0"/>
        <v>46199</v>
      </c>
      <c r="AB1" s="20"/>
      <c r="AC1" s="20"/>
      <c r="AD1" s="20"/>
    </row>
    <row r="2" spans="2:105" x14ac:dyDescent="0.2">
      <c r="B2" s="5"/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6" t="s">
        <v>35</v>
      </c>
      <c r="AM2" s="6" t="s">
        <v>36</v>
      </c>
      <c r="AN2" s="6" t="s">
        <v>37</v>
      </c>
      <c r="AO2" s="6" t="s">
        <v>38</v>
      </c>
      <c r="AP2" s="6" t="s">
        <v>39</v>
      </c>
      <c r="AQ2" s="6" t="s">
        <v>40</v>
      </c>
      <c r="AR2" s="6" t="s">
        <v>41</v>
      </c>
      <c r="AS2" s="6" t="s">
        <v>42</v>
      </c>
      <c r="AT2" s="6" t="s">
        <v>43</v>
      </c>
      <c r="AU2" s="6" t="s">
        <v>44</v>
      </c>
      <c r="AV2" s="6" t="s">
        <v>45</v>
      </c>
      <c r="AW2" s="6" t="s">
        <v>46</v>
      </c>
      <c r="AX2" s="6" t="s">
        <v>79</v>
      </c>
      <c r="AY2" s="6" t="s">
        <v>80</v>
      </c>
      <c r="AZ2" s="6" t="s">
        <v>81</v>
      </c>
      <c r="BA2" s="6" t="s">
        <v>82</v>
      </c>
      <c r="BB2" s="6" t="s">
        <v>83</v>
      </c>
      <c r="BC2" s="6" t="s">
        <v>84</v>
      </c>
      <c r="BD2" s="6" t="s">
        <v>85</v>
      </c>
      <c r="BE2" s="6" t="s">
        <v>86</v>
      </c>
      <c r="BF2" s="6" t="s">
        <v>87</v>
      </c>
      <c r="BG2" s="6" t="s">
        <v>88</v>
      </c>
      <c r="BH2" s="6" t="s">
        <v>89</v>
      </c>
      <c r="BI2" s="6" t="s">
        <v>90</v>
      </c>
      <c r="BJ2" s="6" t="s">
        <v>91</v>
      </c>
      <c r="BK2" s="6" t="s">
        <v>92</v>
      </c>
      <c r="BL2" s="6" t="s">
        <v>93</v>
      </c>
      <c r="BM2" s="6" t="s">
        <v>94</v>
      </c>
      <c r="BN2" s="6" t="s">
        <v>95</v>
      </c>
      <c r="BO2" s="6" t="s">
        <v>96</v>
      </c>
      <c r="BP2" s="6" t="s">
        <v>97</v>
      </c>
      <c r="BQ2" s="6" t="s">
        <v>98</v>
      </c>
      <c r="BR2" s="6" t="s">
        <v>99</v>
      </c>
      <c r="BS2" s="6" t="s">
        <v>100</v>
      </c>
      <c r="BT2" s="6" t="s">
        <v>101</v>
      </c>
      <c r="BU2" s="6" t="s">
        <v>102</v>
      </c>
      <c r="BV2" s="6" t="s">
        <v>103</v>
      </c>
      <c r="BW2" s="6" t="s">
        <v>104</v>
      </c>
      <c r="BX2" s="6" t="s">
        <v>105</v>
      </c>
      <c r="BY2" s="6" t="s">
        <v>106</v>
      </c>
      <c r="BZ2" s="6" t="s">
        <v>107</v>
      </c>
      <c r="CA2" s="6" t="s">
        <v>108</v>
      </c>
      <c r="CB2" s="6" t="s">
        <v>109</v>
      </c>
      <c r="CC2" s="6" t="s">
        <v>110</v>
      </c>
      <c r="CD2" s="6" t="s">
        <v>111</v>
      </c>
      <c r="CE2" s="6" t="s">
        <v>112</v>
      </c>
      <c r="CF2" s="6" t="s">
        <v>113</v>
      </c>
      <c r="CG2" s="6" t="s">
        <v>114</v>
      </c>
      <c r="CH2" s="6" t="s">
        <v>115</v>
      </c>
      <c r="CI2" s="6" t="s">
        <v>116</v>
      </c>
      <c r="CJ2" s="6" t="s">
        <v>117</v>
      </c>
      <c r="CK2" s="6" t="s">
        <v>118</v>
      </c>
      <c r="CL2" s="6" t="s">
        <v>119</v>
      </c>
      <c r="CM2" s="6" t="s">
        <v>120</v>
      </c>
      <c r="CN2" s="6" t="s">
        <v>121</v>
      </c>
      <c r="CO2" s="6" t="s">
        <v>122</v>
      </c>
      <c r="CP2" s="6" t="s">
        <v>123</v>
      </c>
      <c r="CQ2" s="6" t="s">
        <v>124</v>
      </c>
      <c r="CR2" s="6" t="s">
        <v>125</v>
      </c>
      <c r="CS2" s="6" t="s">
        <v>126</v>
      </c>
      <c r="CT2" s="6" t="s">
        <v>127</v>
      </c>
      <c r="CU2" s="6" t="s">
        <v>128</v>
      </c>
      <c r="CV2" s="6" t="s">
        <v>129</v>
      </c>
      <c r="CW2" s="6" t="s">
        <v>130</v>
      </c>
      <c r="CX2" s="6" t="s">
        <v>131</v>
      </c>
      <c r="CY2" s="6" t="s">
        <v>132</v>
      </c>
      <c r="CZ2" s="6" t="s">
        <v>133</v>
      </c>
      <c r="DA2" s="6" t="s">
        <v>134</v>
      </c>
    </row>
    <row r="3" spans="2:105" hidden="1" x14ac:dyDescent="0.2">
      <c r="B3" s="7"/>
      <c r="C3" s="8" t="str">
        <f>"W"&amp;TEXT(_xlfn.ISOWEEKNUM(C4), "00")</f>
        <v>W49</v>
      </c>
      <c r="D3" s="3" t="str">
        <f t="shared" ref="D3:AW3" si="1">"W"&amp;TEXT(_xlfn.ISOWEEKNUM(D4), "00")</f>
        <v>W50</v>
      </c>
      <c r="E3" s="3" t="str">
        <f t="shared" si="1"/>
        <v>W51</v>
      </c>
      <c r="F3" s="3" t="str">
        <f t="shared" si="1"/>
        <v>W52</v>
      </c>
      <c r="G3" s="3" t="str">
        <f t="shared" si="1"/>
        <v>W01</v>
      </c>
      <c r="H3" s="3" t="str">
        <f t="shared" si="1"/>
        <v>W02</v>
      </c>
      <c r="I3" s="3" t="str">
        <f t="shared" si="1"/>
        <v>W03</v>
      </c>
      <c r="J3" s="3" t="str">
        <f t="shared" si="1"/>
        <v>W04</v>
      </c>
      <c r="K3" s="3" t="str">
        <f t="shared" si="1"/>
        <v>W05</v>
      </c>
      <c r="L3" s="3" t="str">
        <f t="shared" si="1"/>
        <v>W06</v>
      </c>
      <c r="M3" s="3" t="str">
        <f t="shared" si="1"/>
        <v>W07</v>
      </c>
      <c r="N3" s="3" t="str">
        <f t="shared" si="1"/>
        <v>W08</v>
      </c>
      <c r="O3" s="3" t="str">
        <f t="shared" si="1"/>
        <v>W09</v>
      </c>
      <c r="P3" s="3" t="str">
        <f t="shared" si="1"/>
        <v>W10</v>
      </c>
      <c r="Q3" s="3" t="str">
        <f t="shared" si="1"/>
        <v>W11</v>
      </c>
      <c r="R3" s="3" t="str">
        <f t="shared" si="1"/>
        <v>W12</v>
      </c>
      <c r="S3" s="3" t="str">
        <f t="shared" si="1"/>
        <v>W13</v>
      </c>
      <c r="T3" s="3" t="str">
        <f t="shared" si="1"/>
        <v>W14</v>
      </c>
      <c r="U3" s="3" t="str">
        <f t="shared" si="1"/>
        <v>W15</v>
      </c>
      <c r="V3" s="3" t="str">
        <f t="shared" si="1"/>
        <v>W16</v>
      </c>
      <c r="W3" s="3" t="str">
        <f t="shared" si="1"/>
        <v>W17</v>
      </c>
      <c r="X3" s="3" t="str">
        <f t="shared" si="1"/>
        <v>W18</v>
      </c>
      <c r="Y3" s="3" t="str">
        <f t="shared" si="1"/>
        <v>W19</v>
      </c>
      <c r="Z3" s="3" t="str">
        <f t="shared" si="1"/>
        <v>W20</v>
      </c>
      <c r="AA3" s="3" t="str">
        <f t="shared" si="1"/>
        <v>W21</v>
      </c>
      <c r="AB3" s="3" t="str">
        <f t="shared" si="1"/>
        <v>W22</v>
      </c>
      <c r="AC3" s="3" t="str">
        <f t="shared" si="1"/>
        <v>W23</v>
      </c>
      <c r="AD3" s="3" t="str">
        <f t="shared" si="1"/>
        <v>W24</v>
      </c>
      <c r="AE3" s="3" t="str">
        <f t="shared" si="1"/>
        <v>W25</v>
      </c>
      <c r="AF3" s="3" t="str">
        <f t="shared" si="1"/>
        <v>W26</v>
      </c>
      <c r="AG3" s="3" t="str">
        <f t="shared" si="1"/>
        <v>W27</v>
      </c>
      <c r="AH3" s="3" t="str">
        <f t="shared" si="1"/>
        <v>W28</v>
      </c>
      <c r="AI3" s="3" t="str">
        <f t="shared" si="1"/>
        <v>W29</v>
      </c>
      <c r="AJ3" s="3" t="str">
        <f t="shared" si="1"/>
        <v>W30</v>
      </c>
      <c r="AK3" s="3" t="str">
        <f t="shared" si="1"/>
        <v>W31</v>
      </c>
      <c r="AL3" s="3" t="str">
        <f t="shared" si="1"/>
        <v>W32</v>
      </c>
      <c r="AM3" s="3" t="str">
        <f t="shared" si="1"/>
        <v>W33</v>
      </c>
      <c r="AN3" s="3" t="str">
        <f t="shared" si="1"/>
        <v>W34</v>
      </c>
      <c r="AO3" s="3" t="str">
        <f t="shared" si="1"/>
        <v>W35</v>
      </c>
      <c r="AP3" s="3" t="str">
        <f t="shared" si="1"/>
        <v>W36</v>
      </c>
      <c r="AQ3" s="3" t="str">
        <f t="shared" si="1"/>
        <v>W37</v>
      </c>
      <c r="AR3" s="3" t="str">
        <f t="shared" si="1"/>
        <v>W38</v>
      </c>
      <c r="AS3" s="3" t="str">
        <f t="shared" si="1"/>
        <v>W39</v>
      </c>
      <c r="AT3" s="3" t="str">
        <f t="shared" si="1"/>
        <v>W40</v>
      </c>
      <c r="AU3" s="3" t="str">
        <f t="shared" si="1"/>
        <v>W41</v>
      </c>
      <c r="AV3" s="3" t="str">
        <f t="shared" si="1"/>
        <v>W42</v>
      </c>
      <c r="AW3" s="3" t="str">
        <f t="shared" si="1"/>
        <v>W43</v>
      </c>
    </row>
    <row r="4" spans="2:105" hidden="1" x14ac:dyDescent="0.2">
      <c r="B4" s="7"/>
      <c r="C4" s="9">
        <v>45628</v>
      </c>
      <c r="D4" s="4">
        <f>9-WEEKDAY(C4, 1)+C4</f>
        <v>45635</v>
      </c>
      <c r="E4" s="4">
        <f t="shared" ref="E4:AW4" si="2">9-WEEKDAY(D4, 1)+D4</f>
        <v>45642</v>
      </c>
      <c r="F4" s="4">
        <f t="shared" si="2"/>
        <v>45649</v>
      </c>
      <c r="G4" s="4">
        <f t="shared" si="2"/>
        <v>45656</v>
      </c>
      <c r="H4" s="4">
        <f t="shared" si="2"/>
        <v>45663</v>
      </c>
      <c r="I4" s="4">
        <f t="shared" si="2"/>
        <v>45670</v>
      </c>
      <c r="J4" s="4">
        <f t="shared" si="2"/>
        <v>45677</v>
      </c>
      <c r="K4" s="4">
        <f t="shared" si="2"/>
        <v>45684</v>
      </c>
      <c r="L4" s="4">
        <f t="shared" si="2"/>
        <v>45691</v>
      </c>
      <c r="M4" s="4">
        <f t="shared" si="2"/>
        <v>45698</v>
      </c>
      <c r="N4" s="4">
        <f t="shared" si="2"/>
        <v>45705</v>
      </c>
      <c r="O4" s="4">
        <f t="shared" si="2"/>
        <v>45712</v>
      </c>
      <c r="P4" s="4">
        <f t="shared" si="2"/>
        <v>45719</v>
      </c>
      <c r="Q4" s="4">
        <f t="shared" si="2"/>
        <v>45726</v>
      </c>
      <c r="R4" s="4">
        <f t="shared" si="2"/>
        <v>45733</v>
      </c>
      <c r="S4" s="4">
        <f t="shared" si="2"/>
        <v>45740</v>
      </c>
      <c r="T4" s="4">
        <f t="shared" si="2"/>
        <v>45747</v>
      </c>
      <c r="U4" s="4">
        <f t="shared" si="2"/>
        <v>45754</v>
      </c>
      <c r="V4" s="4">
        <f t="shared" si="2"/>
        <v>45761</v>
      </c>
      <c r="W4" s="4">
        <f t="shared" si="2"/>
        <v>45768</v>
      </c>
      <c r="X4" s="4">
        <f t="shared" si="2"/>
        <v>45775</v>
      </c>
      <c r="Y4" s="4">
        <f t="shared" si="2"/>
        <v>45782</v>
      </c>
      <c r="Z4" s="4">
        <f t="shared" si="2"/>
        <v>45789</v>
      </c>
      <c r="AA4" s="4">
        <f t="shared" si="2"/>
        <v>45796</v>
      </c>
      <c r="AB4" s="4">
        <f t="shared" si="2"/>
        <v>45803</v>
      </c>
      <c r="AC4" s="4">
        <f t="shared" si="2"/>
        <v>45810</v>
      </c>
      <c r="AD4" s="4">
        <f t="shared" si="2"/>
        <v>45817</v>
      </c>
      <c r="AE4" s="4">
        <f t="shared" si="2"/>
        <v>45824</v>
      </c>
      <c r="AF4" s="4">
        <f t="shared" si="2"/>
        <v>45831</v>
      </c>
      <c r="AG4" s="4">
        <f t="shared" si="2"/>
        <v>45838</v>
      </c>
      <c r="AH4" s="4">
        <f t="shared" si="2"/>
        <v>45845</v>
      </c>
      <c r="AI4" s="4">
        <f t="shared" si="2"/>
        <v>45852</v>
      </c>
      <c r="AJ4" s="4">
        <f t="shared" si="2"/>
        <v>45859</v>
      </c>
      <c r="AK4" s="4">
        <f t="shared" si="2"/>
        <v>45866</v>
      </c>
      <c r="AL4" s="4">
        <f t="shared" si="2"/>
        <v>45873</v>
      </c>
      <c r="AM4" s="4">
        <f t="shared" si="2"/>
        <v>45880</v>
      </c>
      <c r="AN4" s="4">
        <f t="shared" si="2"/>
        <v>45887</v>
      </c>
      <c r="AO4" s="4">
        <f t="shared" si="2"/>
        <v>45894</v>
      </c>
      <c r="AP4" s="4">
        <f t="shared" si="2"/>
        <v>45901</v>
      </c>
      <c r="AQ4" s="4">
        <f t="shared" si="2"/>
        <v>45908</v>
      </c>
      <c r="AR4" s="4">
        <f t="shared" si="2"/>
        <v>45915</v>
      </c>
      <c r="AS4" s="4">
        <f t="shared" si="2"/>
        <v>45922</v>
      </c>
      <c r="AT4" s="4">
        <f t="shared" si="2"/>
        <v>45929</v>
      </c>
      <c r="AU4" s="4">
        <f t="shared" si="2"/>
        <v>45936</v>
      </c>
      <c r="AV4" s="4">
        <f t="shared" si="2"/>
        <v>45943</v>
      </c>
      <c r="AW4" s="4">
        <f t="shared" si="2"/>
        <v>45950</v>
      </c>
    </row>
    <row r="5" spans="2:105" hidden="1" x14ac:dyDescent="0.2">
      <c r="B5" s="7"/>
      <c r="C5" s="10">
        <f>6-WEEKDAY(C4, 1)+C4</f>
        <v>45632</v>
      </c>
      <c r="D5" s="11">
        <f t="shared" ref="D5:AW5" si="3">6-WEEKDAY(D4, 1)+D4</f>
        <v>45639</v>
      </c>
      <c r="E5" s="11">
        <f t="shared" si="3"/>
        <v>45646</v>
      </c>
      <c r="F5" s="11">
        <f t="shared" si="3"/>
        <v>45653</v>
      </c>
      <c r="G5" s="11">
        <f t="shared" si="3"/>
        <v>45660</v>
      </c>
      <c r="H5" s="11">
        <f t="shared" si="3"/>
        <v>45667</v>
      </c>
      <c r="I5" s="11">
        <f t="shared" si="3"/>
        <v>45674</v>
      </c>
      <c r="J5" s="11">
        <f t="shared" si="3"/>
        <v>45681</v>
      </c>
      <c r="K5" s="11">
        <f t="shared" si="3"/>
        <v>45688</v>
      </c>
      <c r="L5" s="11">
        <f t="shared" si="3"/>
        <v>45695</v>
      </c>
      <c r="M5" s="11">
        <f t="shared" si="3"/>
        <v>45702</v>
      </c>
      <c r="N5" s="11">
        <f t="shared" si="3"/>
        <v>45709</v>
      </c>
      <c r="O5" s="11">
        <f t="shared" si="3"/>
        <v>45716</v>
      </c>
      <c r="P5" s="11">
        <f t="shared" si="3"/>
        <v>45723</v>
      </c>
      <c r="Q5" s="11">
        <f t="shared" si="3"/>
        <v>45730</v>
      </c>
      <c r="R5" s="11">
        <f t="shared" si="3"/>
        <v>45737</v>
      </c>
      <c r="S5" s="11">
        <f t="shared" si="3"/>
        <v>45744</v>
      </c>
      <c r="T5" s="11">
        <f t="shared" si="3"/>
        <v>45751</v>
      </c>
      <c r="U5" s="11">
        <f t="shared" si="3"/>
        <v>45758</v>
      </c>
      <c r="V5" s="11">
        <f t="shared" si="3"/>
        <v>45765</v>
      </c>
      <c r="W5" s="11">
        <f t="shared" si="3"/>
        <v>45772</v>
      </c>
      <c r="X5" s="11">
        <f t="shared" si="3"/>
        <v>45779</v>
      </c>
      <c r="Y5" s="11">
        <f t="shared" si="3"/>
        <v>45786</v>
      </c>
      <c r="Z5" s="11">
        <f t="shared" si="3"/>
        <v>45793</v>
      </c>
      <c r="AA5" s="11">
        <f t="shared" si="3"/>
        <v>45800</v>
      </c>
      <c r="AB5" s="11">
        <f t="shared" si="3"/>
        <v>45807</v>
      </c>
      <c r="AC5" s="11">
        <f t="shared" si="3"/>
        <v>45814</v>
      </c>
      <c r="AD5" s="11">
        <f t="shared" si="3"/>
        <v>45821</v>
      </c>
      <c r="AE5" s="11">
        <f t="shared" si="3"/>
        <v>45828</v>
      </c>
      <c r="AF5" s="11">
        <f t="shared" si="3"/>
        <v>45835</v>
      </c>
      <c r="AG5" s="11">
        <f t="shared" si="3"/>
        <v>45842</v>
      </c>
      <c r="AH5" s="11">
        <f t="shared" si="3"/>
        <v>45849</v>
      </c>
      <c r="AI5" s="11">
        <f t="shared" si="3"/>
        <v>45856</v>
      </c>
      <c r="AJ5" s="11">
        <f t="shared" si="3"/>
        <v>45863</v>
      </c>
      <c r="AK5" s="11">
        <f t="shared" si="3"/>
        <v>45870</v>
      </c>
      <c r="AL5" s="11">
        <f t="shared" si="3"/>
        <v>45877</v>
      </c>
      <c r="AM5" s="11">
        <f t="shared" si="3"/>
        <v>45884</v>
      </c>
      <c r="AN5" s="11">
        <f t="shared" si="3"/>
        <v>45891</v>
      </c>
      <c r="AO5" s="11">
        <f t="shared" si="3"/>
        <v>45898</v>
      </c>
      <c r="AP5" s="11">
        <f t="shared" si="3"/>
        <v>45905</v>
      </c>
      <c r="AQ5" s="11">
        <f t="shared" si="3"/>
        <v>45912</v>
      </c>
      <c r="AR5" s="28">
        <f t="shared" si="3"/>
        <v>45919</v>
      </c>
      <c r="AS5" s="28">
        <f t="shared" si="3"/>
        <v>45926</v>
      </c>
      <c r="AT5" s="28">
        <f t="shared" si="3"/>
        <v>45933</v>
      </c>
      <c r="AU5" s="28">
        <f t="shared" si="3"/>
        <v>45940</v>
      </c>
      <c r="AV5" s="28">
        <f t="shared" si="3"/>
        <v>45947</v>
      </c>
      <c r="AW5" s="28">
        <f t="shared" si="3"/>
        <v>45954</v>
      </c>
    </row>
    <row r="6" spans="2:105" s="1" customFormat="1" ht="90" customHeight="1" x14ac:dyDescent="0.2">
      <c r="B6" s="39" t="s">
        <v>153</v>
      </c>
      <c r="C6" s="40" t="s">
        <v>48</v>
      </c>
      <c r="D6" s="30" t="s">
        <v>139</v>
      </c>
      <c r="E6" s="38" t="s">
        <v>137</v>
      </c>
      <c r="F6" s="38"/>
      <c r="G6" s="30" t="s">
        <v>138</v>
      </c>
      <c r="H6" s="41" t="s">
        <v>136</v>
      </c>
      <c r="I6" s="42"/>
      <c r="J6" s="31" t="s">
        <v>140</v>
      </c>
      <c r="K6" s="34" t="s">
        <v>141</v>
      </c>
      <c r="L6" s="34"/>
      <c r="M6" s="34" t="s">
        <v>142</v>
      </c>
      <c r="N6" s="34"/>
      <c r="O6" s="37" t="s">
        <v>144</v>
      </c>
    </row>
    <row r="7" spans="2:105" ht="90" customHeight="1" x14ac:dyDescent="0.2">
      <c r="B7" s="39"/>
      <c r="C7" s="40"/>
      <c r="D7" s="38" t="s">
        <v>146</v>
      </c>
      <c r="E7" s="38"/>
      <c r="F7" s="38" t="s">
        <v>152</v>
      </c>
      <c r="G7" s="38"/>
      <c r="H7" s="31" t="s">
        <v>145</v>
      </c>
      <c r="I7" s="43" t="s">
        <v>149</v>
      </c>
      <c r="J7" s="43"/>
      <c r="K7" s="32" t="s">
        <v>151</v>
      </c>
      <c r="L7" s="32" t="s">
        <v>150</v>
      </c>
      <c r="M7" s="35" t="s">
        <v>143</v>
      </c>
      <c r="N7" s="36"/>
      <c r="O7" s="3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2:105" ht="15.5" customHeight="1" x14ac:dyDescent="0.2">
      <c r="C8" s="16"/>
      <c r="D8" s="2"/>
      <c r="E8" s="2"/>
      <c r="G8" s="2"/>
      <c r="L8" s="17"/>
    </row>
    <row r="9" spans="2:105" ht="15.5" customHeight="1" x14ac:dyDescent="0.2">
      <c r="C9" s="17"/>
      <c r="D9" s="2"/>
      <c r="E9" s="2"/>
      <c r="F9" s="2"/>
      <c r="G9" s="2"/>
      <c r="L9" s="17"/>
    </row>
    <row r="10" spans="2:105" ht="15.5" customHeight="1" x14ac:dyDescent="0.2">
      <c r="C10" s="17"/>
      <c r="D10" s="2"/>
      <c r="E10" s="2"/>
      <c r="F10" s="2"/>
      <c r="L10" s="17"/>
    </row>
    <row r="11" spans="2:105" x14ac:dyDescent="0.2">
      <c r="C11" s="16"/>
      <c r="D11" s="2"/>
      <c r="E11" s="2"/>
      <c r="F11" s="2"/>
      <c r="M11" s="2"/>
      <c r="N11" s="2"/>
      <c r="O11" s="2"/>
      <c r="P11" s="2"/>
      <c r="Q11" s="2"/>
      <c r="R11" s="2"/>
      <c r="S11" s="2"/>
      <c r="T11" s="2"/>
      <c r="U11" s="2"/>
    </row>
    <row r="12" spans="2:105" x14ac:dyDescent="0.2">
      <c r="C12" s="17"/>
    </row>
    <row r="13" spans="2:105" x14ac:dyDescent="0.2">
      <c r="C13" s="17"/>
      <c r="E13" s="29" t="s">
        <v>135</v>
      </c>
      <c r="F13" s="1">
        <f>12</f>
        <v>12</v>
      </c>
    </row>
    <row r="14" spans="2:105" x14ac:dyDescent="0.2">
      <c r="C14" s="17"/>
      <c r="L14" s="17"/>
    </row>
    <row r="15" spans="2:105" x14ac:dyDescent="0.2">
      <c r="C15" s="17"/>
      <c r="E15" s="1" t="s">
        <v>147</v>
      </c>
      <c r="F15" s="33">
        <f>16400*F13</f>
        <v>196800</v>
      </c>
      <c r="L15" s="17"/>
    </row>
    <row r="16" spans="2:105" x14ac:dyDescent="0.2">
      <c r="C16" s="17"/>
      <c r="E16" s="1" t="s">
        <v>148</v>
      </c>
      <c r="F16" s="33">
        <f>25000*F13/4</f>
        <v>75000</v>
      </c>
      <c r="L16" s="17"/>
    </row>
    <row r="17" spans="3:19" x14ac:dyDescent="0.2">
      <c r="C17" s="16"/>
      <c r="J17" s="19"/>
      <c r="L17" s="17"/>
      <c r="S17" s="2"/>
    </row>
    <row r="18" spans="3:19" x14ac:dyDescent="0.2">
      <c r="C18" s="17"/>
      <c r="J18" s="19"/>
      <c r="L18" s="16"/>
    </row>
    <row r="19" spans="3:19" x14ac:dyDescent="0.2">
      <c r="C19" s="16"/>
      <c r="J19" s="19"/>
      <c r="L19" s="17"/>
    </row>
    <row r="20" spans="3:19" x14ac:dyDescent="0.2">
      <c r="C20" s="17"/>
    </row>
    <row r="21" spans="3:19" x14ac:dyDescent="0.2">
      <c r="C21" s="17"/>
      <c r="S21" s="2"/>
    </row>
    <row r="22" spans="3:19" x14ac:dyDescent="0.2">
      <c r="S22" s="2"/>
    </row>
    <row r="23" spans="3:19" x14ac:dyDescent="0.2">
      <c r="C23" s="16"/>
      <c r="E23" s="16"/>
      <c r="O23" s="2"/>
      <c r="S23" s="2"/>
    </row>
    <row r="24" spans="3:19" x14ac:dyDescent="0.2">
      <c r="C24" s="17"/>
      <c r="E24" s="17"/>
      <c r="S24" s="2"/>
    </row>
  </sheetData>
  <mergeCells count="11">
    <mergeCell ref="M6:N6"/>
    <mergeCell ref="M7:N7"/>
    <mergeCell ref="O6:O7"/>
    <mergeCell ref="E6:F6"/>
    <mergeCell ref="B6:B7"/>
    <mergeCell ref="C6:C7"/>
    <mergeCell ref="K6:L6"/>
    <mergeCell ref="H6:I6"/>
    <mergeCell ref="I7:J7"/>
    <mergeCell ref="F7:G7"/>
    <mergeCell ref="D7:E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4796-2618-4EAC-8A9A-E70E8AC604D5}">
  <dimension ref="B1:AW29"/>
  <sheetViews>
    <sheetView showGridLines="0" topLeftCell="C7" zoomScale="125" zoomScaleNormal="100" workbookViewId="0">
      <selection activeCell="T6" sqref="T6:Y6"/>
    </sheetView>
  </sheetViews>
  <sheetFormatPr baseColWidth="10" defaultColWidth="8.6640625" defaultRowHeight="16" x14ac:dyDescent="0.2"/>
  <cols>
    <col min="1" max="1" width="1.6640625" style="2" customWidth="1"/>
    <col min="2" max="2" width="14.6640625" style="2" customWidth="1"/>
    <col min="3" max="3" width="13" style="2" customWidth="1"/>
    <col min="4" max="21" width="13" style="1" customWidth="1"/>
    <col min="22" max="45" width="13" style="2" customWidth="1"/>
    <col min="46" max="16384" width="8.6640625" style="2"/>
  </cols>
  <sheetData>
    <row r="1" spans="2:49" s="1" customFormat="1" ht="20" customHeight="1" x14ac:dyDescent="0.2">
      <c r="C1" s="20">
        <v>45845</v>
      </c>
      <c r="D1" s="20">
        <f>C1+7+4</f>
        <v>45856</v>
      </c>
      <c r="E1" s="20">
        <f>D1+7</f>
        <v>45863</v>
      </c>
      <c r="F1" s="20">
        <f t="shared" ref="F1:AA1" si="0">E1+7</f>
        <v>45870</v>
      </c>
      <c r="G1" s="20">
        <f t="shared" si="0"/>
        <v>45877</v>
      </c>
      <c r="H1" s="20">
        <f t="shared" si="0"/>
        <v>45884</v>
      </c>
      <c r="I1" s="20">
        <f t="shared" si="0"/>
        <v>45891</v>
      </c>
      <c r="J1" s="20">
        <f t="shared" si="0"/>
        <v>45898</v>
      </c>
      <c r="K1" s="20">
        <f t="shared" si="0"/>
        <v>45905</v>
      </c>
      <c r="L1" s="20">
        <f t="shared" si="0"/>
        <v>45912</v>
      </c>
      <c r="M1" s="20">
        <f t="shared" si="0"/>
        <v>45919</v>
      </c>
      <c r="N1" s="20">
        <f t="shared" si="0"/>
        <v>45926</v>
      </c>
      <c r="O1" s="20">
        <f t="shared" si="0"/>
        <v>45933</v>
      </c>
      <c r="P1" s="20">
        <f t="shared" si="0"/>
        <v>45940</v>
      </c>
      <c r="Q1" s="20">
        <f t="shared" si="0"/>
        <v>45947</v>
      </c>
      <c r="R1" s="20">
        <f t="shared" si="0"/>
        <v>45954</v>
      </c>
      <c r="S1" s="20">
        <f t="shared" si="0"/>
        <v>45961</v>
      </c>
      <c r="T1" s="20">
        <f t="shared" si="0"/>
        <v>45968</v>
      </c>
      <c r="U1" s="20">
        <f t="shared" si="0"/>
        <v>45975</v>
      </c>
      <c r="V1" s="20">
        <f t="shared" si="0"/>
        <v>45982</v>
      </c>
      <c r="W1" s="20">
        <f t="shared" si="0"/>
        <v>45989</v>
      </c>
      <c r="X1" s="20">
        <f t="shared" si="0"/>
        <v>45996</v>
      </c>
      <c r="Y1" s="20">
        <f t="shared" si="0"/>
        <v>46003</v>
      </c>
      <c r="Z1" s="20">
        <f t="shared" si="0"/>
        <v>46010</v>
      </c>
      <c r="AA1" s="20">
        <f t="shared" si="0"/>
        <v>46017</v>
      </c>
      <c r="AB1" s="20"/>
      <c r="AC1" s="20"/>
      <c r="AD1" s="20"/>
    </row>
    <row r="2" spans="2:49" x14ac:dyDescent="0.2">
      <c r="B2" s="5"/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6" t="s">
        <v>35</v>
      </c>
      <c r="AM2" s="6" t="s">
        <v>36</v>
      </c>
      <c r="AN2" s="6" t="s">
        <v>37</v>
      </c>
      <c r="AO2" s="6" t="s">
        <v>38</v>
      </c>
      <c r="AP2" s="6" t="s">
        <v>39</v>
      </c>
      <c r="AQ2" s="6" t="s">
        <v>40</v>
      </c>
      <c r="AR2" s="6" t="s">
        <v>41</v>
      </c>
      <c r="AS2" s="6" t="s">
        <v>42</v>
      </c>
      <c r="AT2" s="6" t="s">
        <v>43</v>
      </c>
      <c r="AU2" s="6" t="s">
        <v>44</v>
      </c>
      <c r="AV2" s="6" t="s">
        <v>45</v>
      </c>
      <c r="AW2" s="6" t="s">
        <v>46</v>
      </c>
    </row>
    <row r="3" spans="2:49" hidden="1" x14ac:dyDescent="0.2">
      <c r="B3" s="7"/>
      <c r="C3" s="8" t="str">
        <f>"W"&amp;TEXT(_xlfn.ISOWEEKNUM(C4), "00")</f>
        <v>W49</v>
      </c>
      <c r="D3" s="3" t="str">
        <f t="shared" ref="D3:AW3" si="1">"W"&amp;TEXT(_xlfn.ISOWEEKNUM(D4), "00")</f>
        <v>W50</v>
      </c>
      <c r="E3" s="3" t="str">
        <f t="shared" si="1"/>
        <v>W51</v>
      </c>
      <c r="F3" s="3" t="str">
        <f t="shared" si="1"/>
        <v>W52</v>
      </c>
      <c r="G3" s="3" t="str">
        <f t="shared" si="1"/>
        <v>W01</v>
      </c>
      <c r="H3" s="3" t="str">
        <f t="shared" si="1"/>
        <v>W02</v>
      </c>
      <c r="I3" s="3" t="str">
        <f t="shared" si="1"/>
        <v>W03</v>
      </c>
      <c r="J3" s="3" t="str">
        <f t="shared" si="1"/>
        <v>W04</v>
      </c>
      <c r="K3" s="3" t="str">
        <f t="shared" si="1"/>
        <v>W05</v>
      </c>
      <c r="L3" s="3" t="str">
        <f t="shared" si="1"/>
        <v>W06</v>
      </c>
      <c r="M3" s="3" t="str">
        <f t="shared" si="1"/>
        <v>W07</v>
      </c>
      <c r="N3" s="3" t="str">
        <f t="shared" si="1"/>
        <v>W08</v>
      </c>
      <c r="O3" s="3" t="str">
        <f t="shared" si="1"/>
        <v>W09</v>
      </c>
      <c r="P3" s="3" t="str">
        <f t="shared" si="1"/>
        <v>W10</v>
      </c>
      <c r="Q3" s="3" t="str">
        <f t="shared" si="1"/>
        <v>W11</v>
      </c>
      <c r="R3" s="3" t="str">
        <f t="shared" si="1"/>
        <v>W12</v>
      </c>
      <c r="S3" s="3" t="str">
        <f t="shared" si="1"/>
        <v>W13</v>
      </c>
      <c r="T3" s="3" t="str">
        <f t="shared" si="1"/>
        <v>W14</v>
      </c>
      <c r="U3" s="3" t="str">
        <f t="shared" si="1"/>
        <v>W15</v>
      </c>
      <c r="V3" s="3" t="str">
        <f t="shared" si="1"/>
        <v>W16</v>
      </c>
      <c r="W3" s="3" t="str">
        <f t="shared" si="1"/>
        <v>W17</v>
      </c>
      <c r="X3" s="3" t="str">
        <f t="shared" si="1"/>
        <v>W18</v>
      </c>
      <c r="Y3" s="3" t="str">
        <f t="shared" si="1"/>
        <v>W19</v>
      </c>
      <c r="Z3" s="3" t="str">
        <f t="shared" si="1"/>
        <v>W20</v>
      </c>
      <c r="AA3" s="3" t="str">
        <f t="shared" si="1"/>
        <v>W21</v>
      </c>
      <c r="AB3" s="3" t="str">
        <f t="shared" si="1"/>
        <v>W22</v>
      </c>
      <c r="AC3" s="3" t="str">
        <f t="shared" si="1"/>
        <v>W23</v>
      </c>
      <c r="AD3" s="3" t="str">
        <f t="shared" si="1"/>
        <v>W24</v>
      </c>
      <c r="AE3" s="3" t="str">
        <f t="shared" si="1"/>
        <v>W25</v>
      </c>
      <c r="AF3" s="3" t="str">
        <f t="shared" si="1"/>
        <v>W26</v>
      </c>
      <c r="AG3" s="3" t="str">
        <f t="shared" si="1"/>
        <v>W27</v>
      </c>
      <c r="AH3" s="3" t="str">
        <f t="shared" si="1"/>
        <v>W28</v>
      </c>
      <c r="AI3" s="3" t="str">
        <f t="shared" si="1"/>
        <v>W29</v>
      </c>
      <c r="AJ3" s="3" t="str">
        <f t="shared" si="1"/>
        <v>W30</v>
      </c>
      <c r="AK3" s="3" t="str">
        <f t="shared" si="1"/>
        <v>W31</v>
      </c>
      <c r="AL3" s="3" t="str">
        <f t="shared" si="1"/>
        <v>W32</v>
      </c>
      <c r="AM3" s="3" t="str">
        <f t="shared" si="1"/>
        <v>W33</v>
      </c>
      <c r="AN3" s="3" t="str">
        <f t="shared" si="1"/>
        <v>W34</v>
      </c>
      <c r="AO3" s="3" t="str">
        <f t="shared" si="1"/>
        <v>W35</v>
      </c>
      <c r="AP3" s="3" t="str">
        <f t="shared" si="1"/>
        <v>W36</v>
      </c>
      <c r="AQ3" s="3" t="str">
        <f t="shared" si="1"/>
        <v>W37</v>
      </c>
      <c r="AR3" s="3" t="str">
        <f t="shared" si="1"/>
        <v>W38</v>
      </c>
      <c r="AS3" s="3" t="str">
        <f t="shared" si="1"/>
        <v>W39</v>
      </c>
      <c r="AT3" s="3" t="str">
        <f t="shared" si="1"/>
        <v>W40</v>
      </c>
      <c r="AU3" s="3" t="str">
        <f t="shared" si="1"/>
        <v>W41</v>
      </c>
      <c r="AV3" s="3" t="str">
        <f t="shared" si="1"/>
        <v>W42</v>
      </c>
      <c r="AW3" s="3" t="str">
        <f t="shared" si="1"/>
        <v>W43</v>
      </c>
    </row>
    <row r="4" spans="2:49" hidden="1" x14ac:dyDescent="0.2">
      <c r="B4" s="7"/>
      <c r="C4" s="9">
        <v>45628</v>
      </c>
      <c r="D4" s="4">
        <f>9-WEEKDAY(C4, 1)+C4</f>
        <v>45635</v>
      </c>
      <c r="E4" s="4">
        <f t="shared" ref="E4" si="2">9-WEEKDAY(D4, 1)+D4</f>
        <v>45642</v>
      </c>
      <c r="F4" s="4">
        <f t="shared" ref="F4" si="3">9-WEEKDAY(E4, 1)+E4</f>
        <v>45649</v>
      </c>
      <c r="G4" s="4">
        <f t="shared" ref="G4" si="4">9-WEEKDAY(F4, 1)+F4</f>
        <v>45656</v>
      </c>
      <c r="H4" s="4">
        <f t="shared" ref="H4" si="5">9-WEEKDAY(G4, 1)+G4</f>
        <v>45663</v>
      </c>
      <c r="I4" s="4">
        <f t="shared" ref="I4" si="6">9-WEEKDAY(H4, 1)+H4</f>
        <v>45670</v>
      </c>
      <c r="J4" s="4">
        <f t="shared" ref="J4" si="7">9-WEEKDAY(I4, 1)+I4</f>
        <v>45677</v>
      </c>
      <c r="K4" s="4">
        <f t="shared" ref="K4" si="8">9-WEEKDAY(J4, 1)+J4</f>
        <v>45684</v>
      </c>
      <c r="L4" s="4">
        <f t="shared" ref="L4" si="9">9-WEEKDAY(K4, 1)+K4</f>
        <v>45691</v>
      </c>
      <c r="M4" s="4">
        <f t="shared" ref="M4" si="10">9-WEEKDAY(L4, 1)+L4</f>
        <v>45698</v>
      </c>
      <c r="N4" s="4">
        <f t="shared" ref="N4" si="11">9-WEEKDAY(M4, 1)+M4</f>
        <v>45705</v>
      </c>
      <c r="O4" s="4">
        <f t="shared" ref="O4" si="12">9-WEEKDAY(N4, 1)+N4</f>
        <v>45712</v>
      </c>
      <c r="P4" s="4">
        <f t="shared" ref="P4" si="13">9-WEEKDAY(O4, 1)+O4</f>
        <v>45719</v>
      </c>
      <c r="Q4" s="4">
        <f t="shared" ref="Q4" si="14">9-WEEKDAY(P4, 1)+P4</f>
        <v>45726</v>
      </c>
      <c r="R4" s="4">
        <f t="shared" ref="R4" si="15">9-WEEKDAY(Q4, 1)+Q4</f>
        <v>45733</v>
      </c>
      <c r="S4" s="4">
        <f t="shared" ref="S4" si="16">9-WEEKDAY(R4, 1)+R4</f>
        <v>45740</v>
      </c>
      <c r="T4" s="4">
        <f t="shared" ref="T4" si="17">9-WEEKDAY(S4, 1)+S4</f>
        <v>45747</v>
      </c>
      <c r="U4" s="4">
        <f t="shared" ref="U4" si="18">9-WEEKDAY(T4, 1)+T4</f>
        <v>45754</v>
      </c>
      <c r="V4" s="4">
        <f t="shared" ref="V4" si="19">9-WEEKDAY(U4, 1)+U4</f>
        <v>45761</v>
      </c>
      <c r="W4" s="4">
        <f t="shared" ref="W4" si="20">9-WEEKDAY(V4, 1)+V4</f>
        <v>45768</v>
      </c>
      <c r="X4" s="4">
        <f t="shared" ref="X4" si="21">9-WEEKDAY(W4, 1)+W4</f>
        <v>45775</v>
      </c>
      <c r="Y4" s="4">
        <f t="shared" ref="Y4" si="22">9-WEEKDAY(X4, 1)+X4</f>
        <v>45782</v>
      </c>
      <c r="Z4" s="4">
        <f t="shared" ref="Z4" si="23">9-WEEKDAY(Y4, 1)+Y4</f>
        <v>45789</v>
      </c>
      <c r="AA4" s="4">
        <f t="shared" ref="AA4" si="24">9-WEEKDAY(Z4, 1)+Z4</f>
        <v>45796</v>
      </c>
      <c r="AB4" s="4">
        <f t="shared" ref="AB4" si="25">9-WEEKDAY(AA4, 1)+AA4</f>
        <v>45803</v>
      </c>
      <c r="AC4" s="4">
        <f t="shared" ref="AC4" si="26">9-WEEKDAY(AB4, 1)+AB4</f>
        <v>45810</v>
      </c>
      <c r="AD4" s="4">
        <f t="shared" ref="AD4" si="27">9-WEEKDAY(AC4, 1)+AC4</f>
        <v>45817</v>
      </c>
      <c r="AE4" s="4">
        <f t="shared" ref="AE4" si="28">9-WEEKDAY(AD4, 1)+AD4</f>
        <v>45824</v>
      </c>
      <c r="AF4" s="4">
        <f t="shared" ref="AF4" si="29">9-WEEKDAY(AE4, 1)+AE4</f>
        <v>45831</v>
      </c>
      <c r="AG4" s="4">
        <f t="shared" ref="AG4" si="30">9-WEEKDAY(AF4, 1)+AF4</f>
        <v>45838</v>
      </c>
      <c r="AH4" s="4">
        <f t="shared" ref="AH4" si="31">9-WEEKDAY(AG4, 1)+AG4</f>
        <v>45845</v>
      </c>
      <c r="AI4" s="4">
        <f t="shared" ref="AI4" si="32">9-WEEKDAY(AH4, 1)+AH4</f>
        <v>45852</v>
      </c>
      <c r="AJ4" s="4">
        <f t="shared" ref="AJ4" si="33">9-WEEKDAY(AI4, 1)+AI4</f>
        <v>45859</v>
      </c>
      <c r="AK4" s="4">
        <f t="shared" ref="AK4" si="34">9-WEEKDAY(AJ4, 1)+AJ4</f>
        <v>45866</v>
      </c>
      <c r="AL4" s="4">
        <f t="shared" ref="AL4" si="35">9-WEEKDAY(AK4, 1)+AK4</f>
        <v>45873</v>
      </c>
      <c r="AM4" s="4">
        <f t="shared" ref="AM4" si="36">9-WEEKDAY(AL4, 1)+AL4</f>
        <v>45880</v>
      </c>
      <c r="AN4" s="4">
        <f t="shared" ref="AN4" si="37">9-WEEKDAY(AM4, 1)+AM4</f>
        <v>45887</v>
      </c>
      <c r="AO4" s="4">
        <f t="shared" ref="AO4" si="38">9-WEEKDAY(AN4, 1)+AN4</f>
        <v>45894</v>
      </c>
      <c r="AP4" s="4">
        <f t="shared" ref="AP4" si="39">9-WEEKDAY(AO4, 1)+AO4</f>
        <v>45901</v>
      </c>
      <c r="AQ4" s="4">
        <f t="shared" ref="AQ4" si="40">9-WEEKDAY(AP4, 1)+AP4</f>
        <v>45908</v>
      </c>
      <c r="AR4" s="4">
        <f t="shared" ref="AR4" si="41">9-WEEKDAY(AQ4, 1)+AQ4</f>
        <v>45915</v>
      </c>
      <c r="AS4" s="4">
        <f t="shared" ref="AS4" si="42">9-WEEKDAY(AR4, 1)+AR4</f>
        <v>45922</v>
      </c>
      <c r="AT4" s="4">
        <f t="shared" ref="AT4" si="43">9-WEEKDAY(AS4, 1)+AS4</f>
        <v>45929</v>
      </c>
      <c r="AU4" s="4">
        <f t="shared" ref="AU4" si="44">9-WEEKDAY(AT4, 1)+AT4</f>
        <v>45936</v>
      </c>
      <c r="AV4" s="4">
        <f t="shared" ref="AV4" si="45">9-WEEKDAY(AU4, 1)+AU4</f>
        <v>45943</v>
      </c>
      <c r="AW4" s="4">
        <f t="shared" ref="AW4" si="46">9-WEEKDAY(AV4, 1)+AV4</f>
        <v>45950</v>
      </c>
    </row>
    <row r="5" spans="2:49" hidden="1" x14ac:dyDescent="0.2">
      <c r="B5" s="7"/>
      <c r="C5" s="10">
        <f>6-WEEKDAY(C4, 1)+C4</f>
        <v>45632</v>
      </c>
      <c r="D5" s="11">
        <f t="shared" ref="D5" si="47">6-WEEKDAY(D4, 1)+D4</f>
        <v>45639</v>
      </c>
      <c r="E5" s="11">
        <f t="shared" ref="E5:F5" si="48">6-WEEKDAY(E4, 1)+E4</f>
        <v>45646</v>
      </c>
      <c r="F5" s="11">
        <f t="shared" si="48"/>
        <v>45653</v>
      </c>
      <c r="G5" s="11">
        <f t="shared" ref="G5:S5" si="49">6-WEEKDAY(G4, 1)+G4</f>
        <v>45660</v>
      </c>
      <c r="H5" s="11">
        <f t="shared" si="49"/>
        <v>45667</v>
      </c>
      <c r="I5" s="11">
        <f t="shared" si="49"/>
        <v>45674</v>
      </c>
      <c r="J5" s="11">
        <f t="shared" si="49"/>
        <v>45681</v>
      </c>
      <c r="K5" s="11">
        <f t="shared" si="49"/>
        <v>45688</v>
      </c>
      <c r="L5" s="11">
        <f t="shared" si="49"/>
        <v>45695</v>
      </c>
      <c r="M5" s="11">
        <f t="shared" si="49"/>
        <v>45702</v>
      </c>
      <c r="N5" s="11">
        <f t="shared" si="49"/>
        <v>45709</v>
      </c>
      <c r="O5" s="11">
        <f t="shared" si="49"/>
        <v>45716</v>
      </c>
      <c r="P5" s="11">
        <f t="shared" si="49"/>
        <v>45723</v>
      </c>
      <c r="Q5" s="11">
        <f t="shared" si="49"/>
        <v>45730</v>
      </c>
      <c r="R5" s="11">
        <f t="shared" si="49"/>
        <v>45737</v>
      </c>
      <c r="S5" s="11">
        <f t="shared" si="49"/>
        <v>45744</v>
      </c>
      <c r="T5" s="11">
        <f t="shared" ref="T5:AW5" si="50">6-WEEKDAY(T4, 1)+T4</f>
        <v>45751</v>
      </c>
      <c r="U5" s="11">
        <f t="shared" si="50"/>
        <v>45758</v>
      </c>
      <c r="V5" s="11">
        <f t="shared" si="50"/>
        <v>45765</v>
      </c>
      <c r="W5" s="11">
        <f t="shared" si="50"/>
        <v>45772</v>
      </c>
      <c r="X5" s="11">
        <f t="shared" si="50"/>
        <v>45779</v>
      </c>
      <c r="Y5" s="11">
        <f t="shared" si="50"/>
        <v>45786</v>
      </c>
      <c r="Z5" s="11">
        <f t="shared" si="50"/>
        <v>45793</v>
      </c>
      <c r="AA5" s="11">
        <f t="shared" si="50"/>
        <v>45800</v>
      </c>
      <c r="AB5" s="11">
        <f t="shared" si="50"/>
        <v>45807</v>
      </c>
      <c r="AC5" s="11">
        <f t="shared" si="50"/>
        <v>45814</v>
      </c>
      <c r="AD5" s="11">
        <f t="shared" si="50"/>
        <v>45821</v>
      </c>
      <c r="AE5" s="11">
        <f t="shared" si="50"/>
        <v>45828</v>
      </c>
      <c r="AF5" s="11">
        <f t="shared" si="50"/>
        <v>45835</v>
      </c>
      <c r="AG5" s="11">
        <f t="shared" si="50"/>
        <v>45842</v>
      </c>
      <c r="AH5" s="11">
        <f t="shared" si="50"/>
        <v>45849</v>
      </c>
      <c r="AI5" s="11">
        <f t="shared" si="50"/>
        <v>45856</v>
      </c>
      <c r="AJ5" s="11">
        <f t="shared" si="50"/>
        <v>45863</v>
      </c>
      <c r="AK5" s="11">
        <f t="shared" si="50"/>
        <v>45870</v>
      </c>
      <c r="AL5" s="11">
        <f t="shared" si="50"/>
        <v>45877</v>
      </c>
      <c r="AM5" s="11">
        <f t="shared" si="50"/>
        <v>45884</v>
      </c>
      <c r="AN5" s="11">
        <f t="shared" si="50"/>
        <v>45891</v>
      </c>
      <c r="AO5" s="11">
        <f t="shared" si="50"/>
        <v>45898</v>
      </c>
      <c r="AP5" s="11">
        <f t="shared" si="50"/>
        <v>45905</v>
      </c>
      <c r="AQ5" s="11">
        <f t="shared" si="50"/>
        <v>45912</v>
      </c>
      <c r="AR5" s="11">
        <f t="shared" si="50"/>
        <v>45919</v>
      </c>
      <c r="AS5" s="11">
        <f t="shared" si="50"/>
        <v>45926</v>
      </c>
      <c r="AT5" s="11">
        <f t="shared" si="50"/>
        <v>45933</v>
      </c>
      <c r="AU5" s="11">
        <f t="shared" si="50"/>
        <v>45940</v>
      </c>
      <c r="AV5" s="11">
        <f t="shared" si="50"/>
        <v>45947</v>
      </c>
      <c r="AW5" s="11">
        <f t="shared" si="50"/>
        <v>45954</v>
      </c>
    </row>
    <row r="6" spans="2:49" ht="19.25" customHeight="1" x14ac:dyDescent="0.2">
      <c r="B6" s="7"/>
      <c r="C6" s="26"/>
      <c r="D6" s="64" t="s">
        <v>50</v>
      </c>
      <c r="E6" s="65"/>
      <c r="F6" s="65"/>
      <c r="G6" s="65"/>
      <c r="H6" s="65"/>
      <c r="I6" s="65"/>
      <c r="J6" s="66"/>
      <c r="K6" s="67" t="s">
        <v>51</v>
      </c>
      <c r="L6" s="67"/>
      <c r="M6" s="67"/>
      <c r="N6" s="67"/>
      <c r="O6" s="68" t="s">
        <v>52</v>
      </c>
      <c r="P6" s="68"/>
      <c r="Q6" s="68"/>
      <c r="R6" s="68"/>
      <c r="S6" s="68"/>
      <c r="T6" s="69" t="s">
        <v>53</v>
      </c>
      <c r="U6" s="69"/>
      <c r="V6" s="69"/>
      <c r="W6" s="69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</row>
    <row r="7" spans="2:49" ht="105" customHeight="1" x14ac:dyDescent="0.2">
      <c r="B7" s="49" t="s">
        <v>47</v>
      </c>
      <c r="C7" s="54" t="s">
        <v>48</v>
      </c>
      <c r="D7" s="56" t="s">
        <v>54</v>
      </c>
      <c r="E7" s="56" t="s">
        <v>55</v>
      </c>
      <c r="F7" s="56"/>
      <c r="G7" s="51" t="s">
        <v>56</v>
      </c>
      <c r="H7" s="52"/>
      <c r="I7" s="53"/>
      <c r="J7" s="24" t="s">
        <v>57</v>
      </c>
      <c r="K7" s="47" t="s">
        <v>58</v>
      </c>
      <c r="L7" s="48"/>
      <c r="M7" s="47" t="s">
        <v>59</v>
      </c>
      <c r="N7" s="48"/>
      <c r="O7" s="23" t="s">
        <v>60</v>
      </c>
      <c r="P7" s="45" t="s">
        <v>61</v>
      </c>
      <c r="Q7" s="46"/>
      <c r="R7" s="45" t="s">
        <v>62</v>
      </c>
      <c r="S7" s="46"/>
      <c r="T7" s="58" t="s">
        <v>63</v>
      </c>
      <c r="U7" s="59"/>
      <c r="V7" s="59"/>
      <c r="W7" s="60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</row>
    <row r="8" spans="2:49" ht="105" customHeight="1" x14ac:dyDescent="0.2">
      <c r="B8" s="50"/>
      <c r="C8" s="55"/>
      <c r="D8" s="56"/>
      <c r="E8" s="56"/>
      <c r="F8" s="56"/>
      <c r="G8" s="56" t="s">
        <v>64</v>
      </c>
      <c r="H8" s="56"/>
      <c r="I8" s="56"/>
      <c r="J8" s="21" t="s">
        <v>65</v>
      </c>
      <c r="K8" s="25" t="s">
        <v>66</v>
      </c>
      <c r="L8" s="47" t="s">
        <v>67</v>
      </c>
      <c r="M8" s="57"/>
      <c r="N8" s="48"/>
      <c r="O8" s="23" t="s">
        <v>68</v>
      </c>
      <c r="P8" s="45" t="s">
        <v>69</v>
      </c>
      <c r="Q8" s="46"/>
      <c r="R8" s="23" t="s">
        <v>70</v>
      </c>
      <c r="S8" s="22" t="s">
        <v>71</v>
      </c>
      <c r="T8" s="61"/>
      <c r="U8" s="62"/>
      <c r="V8" s="62"/>
      <c r="W8" s="63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</row>
    <row r="9" spans="2:49" ht="16.25" customHeight="1" x14ac:dyDescent="0.2">
      <c r="E9" s="12"/>
      <c r="AD9" s="18"/>
    </row>
    <row r="10" spans="2:49" ht="16.25" customHeight="1" x14ac:dyDescent="0.2">
      <c r="C10" s="15"/>
      <c r="E10" s="12"/>
      <c r="F10" s="2"/>
      <c r="G10" s="2"/>
      <c r="L10" s="16"/>
      <c r="AD10" s="18"/>
    </row>
    <row r="11" spans="2:49" ht="15.5" customHeight="1" x14ac:dyDescent="0.2">
      <c r="C11" s="16"/>
      <c r="D11" s="2"/>
      <c r="E11" s="2"/>
      <c r="G11" s="2"/>
      <c r="L11" s="17"/>
    </row>
    <row r="12" spans="2:49" ht="15.5" customHeight="1" x14ac:dyDescent="0.2">
      <c r="C12" s="17"/>
      <c r="D12" s="2"/>
      <c r="E12" s="13"/>
      <c r="G12" s="2"/>
      <c r="L12" s="17"/>
      <c r="AB12" s="44"/>
      <c r="AC12" s="44"/>
      <c r="AD12" s="44"/>
    </row>
    <row r="13" spans="2:49" ht="15.5" customHeight="1" x14ac:dyDescent="0.2">
      <c r="C13" s="17"/>
      <c r="D13" s="2"/>
      <c r="E13" s="13"/>
      <c r="F13" s="2"/>
      <c r="G13" s="2"/>
      <c r="L13" s="16"/>
      <c r="AB13" s="44"/>
      <c r="AC13" s="44"/>
      <c r="AD13" s="44"/>
    </row>
    <row r="14" spans="2:49" ht="15.5" customHeight="1" x14ac:dyDescent="0.2">
      <c r="C14" s="17"/>
      <c r="D14" s="2"/>
      <c r="E14" s="2"/>
      <c r="F14" s="2"/>
      <c r="G14" s="2"/>
      <c r="L14" s="17"/>
    </row>
    <row r="15" spans="2:49" ht="15.5" customHeight="1" x14ac:dyDescent="0.2">
      <c r="C15" s="17"/>
      <c r="D15" s="2"/>
      <c r="E15" s="2"/>
      <c r="F15" s="2"/>
      <c r="G15" s="2"/>
      <c r="L15" s="17"/>
    </row>
    <row r="16" spans="2:49" ht="15.5" customHeight="1" x14ac:dyDescent="0.2">
      <c r="C16" s="16"/>
      <c r="D16" s="2"/>
      <c r="E16" s="2"/>
      <c r="F16" s="2"/>
      <c r="G16" s="2"/>
      <c r="L16" s="16"/>
    </row>
    <row r="17" spans="3:19" x14ac:dyDescent="0.2">
      <c r="C17" s="17"/>
      <c r="M17" s="1" t="s">
        <v>49</v>
      </c>
    </row>
    <row r="18" spans="3:19" x14ac:dyDescent="0.2">
      <c r="C18" s="17"/>
    </row>
    <row r="19" spans="3:19" x14ac:dyDescent="0.2">
      <c r="C19" s="17"/>
      <c r="L19" s="17"/>
    </row>
    <row r="20" spans="3:19" x14ac:dyDescent="0.2">
      <c r="C20" s="17"/>
      <c r="L20" s="17"/>
    </row>
    <row r="21" spans="3:19" x14ac:dyDescent="0.2">
      <c r="C21" s="17"/>
      <c r="L21" s="17"/>
    </row>
    <row r="22" spans="3:19" x14ac:dyDescent="0.2">
      <c r="C22" s="16"/>
      <c r="J22" s="19"/>
      <c r="L22" s="17"/>
      <c r="S22" s="2"/>
    </row>
    <row r="23" spans="3:19" x14ac:dyDescent="0.2">
      <c r="C23" s="17"/>
      <c r="J23" s="19"/>
      <c r="L23" s="16"/>
    </row>
    <row r="24" spans="3:19" x14ac:dyDescent="0.2">
      <c r="C24" s="16"/>
      <c r="J24" s="19"/>
      <c r="L24" s="17"/>
    </row>
    <row r="25" spans="3:19" x14ac:dyDescent="0.2">
      <c r="C25" s="17"/>
    </row>
    <row r="26" spans="3:19" x14ac:dyDescent="0.2">
      <c r="C26" s="17"/>
      <c r="S26" s="2"/>
    </row>
    <row r="27" spans="3:19" x14ac:dyDescent="0.2">
      <c r="S27" s="2"/>
    </row>
    <row r="28" spans="3:19" x14ac:dyDescent="0.2">
      <c r="C28" s="16"/>
      <c r="E28" s="16"/>
      <c r="O28" s="2"/>
      <c r="S28" s="2"/>
    </row>
    <row r="29" spans="3:19" x14ac:dyDescent="0.2">
      <c r="C29" s="17"/>
      <c r="E29" s="17"/>
      <c r="S29" s="2"/>
    </row>
  </sheetData>
  <mergeCells count="18">
    <mergeCell ref="D6:J6"/>
    <mergeCell ref="K6:N6"/>
    <mergeCell ref="O6:S6"/>
    <mergeCell ref="T6:W6"/>
    <mergeCell ref="K7:L7"/>
    <mergeCell ref="AB12:AD13"/>
    <mergeCell ref="R7:S7"/>
    <mergeCell ref="P7:Q7"/>
    <mergeCell ref="M7:N7"/>
    <mergeCell ref="B7:B8"/>
    <mergeCell ref="G7:I7"/>
    <mergeCell ref="C7:C8"/>
    <mergeCell ref="E7:F8"/>
    <mergeCell ref="D7:D8"/>
    <mergeCell ref="G8:I8"/>
    <mergeCell ref="L8:N8"/>
    <mergeCell ref="P8:Q8"/>
    <mergeCell ref="T7:W8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9BBC-E0CD-4702-9EA2-4C82B0F4362E}">
  <dimension ref="F3:F13"/>
  <sheetViews>
    <sheetView workbookViewId="0">
      <selection activeCell="T6" sqref="T6:Y6"/>
    </sheetView>
  </sheetViews>
  <sheetFormatPr baseColWidth="10" defaultColWidth="8.6640625" defaultRowHeight="16" x14ac:dyDescent="0.2"/>
  <sheetData>
    <row r="3" spans="6:6" x14ac:dyDescent="0.2">
      <c r="F3" t="s">
        <v>72</v>
      </c>
    </row>
    <row r="4" spans="6:6" x14ac:dyDescent="0.2">
      <c r="F4" t="s">
        <v>73</v>
      </c>
    </row>
    <row r="5" spans="6:6" x14ac:dyDescent="0.2">
      <c r="F5" t="s">
        <v>74</v>
      </c>
    </row>
    <row r="8" spans="6:6" x14ac:dyDescent="0.2">
      <c r="F8" t="s">
        <v>75</v>
      </c>
    </row>
    <row r="9" spans="6:6" x14ac:dyDescent="0.2">
      <c r="F9" t="s">
        <v>76</v>
      </c>
    </row>
    <row r="11" spans="6:6" x14ac:dyDescent="0.2">
      <c r="F11" t="s">
        <v>77</v>
      </c>
    </row>
    <row r="13" spans="6:6" x14ac:dyDescent="0.2">
      <c r="F13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CC5D8E2EBBC348BC170B007B77D5BE" ma:contentTypeVersion="19" ma:contentTypeDescription="Create a new document." ma:contentTypeScope="" ma:versionID="5830ac8fe3e36f6152bcd46a87f1b531">
  <xsd:schema xmlns:xsd="http://www.w3.org/2001/XMLSchema" xmlns:xs="http://www.w3.org/2001/XMLSchema" xmlns:p="http://schemas.microsoft.com/office/2006/metadata/properties" xmlns:ns2="d63d66b3-36cf-4464-9f85-513163671e4d" xmlns:ns3="d25fa8d5-51d9-4136-8723-e6318b13943b" targetNamespace="http://schemas.microsoft.com/office/2006/metadata/properties" ma:root="true" ma:fieldsID="b913be93c91d1be1e93e2eb529c76fc6" ns2:_="" ns3:_="">
    <xsd:import namespace="d63d66b3-36cf-4464-9f85-513163671e4d"/>
    <xsd:import namespace="d25fa8d5-51d9-4136-8723-e6318b1394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d66b3-36cf-4464-9f85-513163671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d806c2-34ca-4185-9669-e1b39a7dd6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fa8d5-51d9-4136-8723-e6318b139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cd6c578-f55e-4068-b48a-311515e24ac8}" ma:internalName="TaxCatchAll" ma:showField="CatchAllData" ma:web="d25fa8d5-51d9-4136-8723-e6318b1394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d66b3-36cf-4464-9f85-513163671e4d">
      <Terms xmlns="http://schemas.microsoft.com/office/infopath/2007/PartnerControls"/>
    </lcf76f155ced4ddcb4097134ff3c332f>
    <TaxCatchAll xmlns="d25fa8d5-51d9-4136-8723-e6318b13943b" xsi:nil="true"/>
  </documentManagement>
</p:properties>
</file>

<file path=customXml/itemProps1.xml><?xml version="1.0" encoding="utf-8"?>
<ds:datastoreItem xmlns:ds="http://schemas.openxmlformats.org/officeDocument/2006/customXml" ds:itemID="{3C543A2C-2F1F-4290-B5ED-B16FC3A8DC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5E697-695F-4278-B88B-51EF3B733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d66b3-36cf-4464-9f85-513163671e4d"/>
    <ds:schemaRef ds:uri="d25fa8d5-51d9-4136-8723-e6318b139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3096E7-A9CA-4543-8A84-55D95CEE45B1}">
  <ds:schemaRefs>
    <ds:schemaRef ds:uri="http://purl.org/dc/elements/1.1/"/>
    <ds:schemaRef ds:uri="http://purl.org/dc/dcmitype/"/>
    <ds:schemaRef ds:uri="http://schemas.microsoft.com/office/2006/documentManagement/types"/>
    <ds:schemaRef ds:uri="d63d66b3-36cf-4464-9f85-513163671e4d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25fa8d5-51d9-4136-8723-e6318b13943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Roadmap (old)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Damiani</dc:creator>
  <cp:keywords/>
  <dc:description/>
  <cp:lastModifiedBy>Franco Zuccarelli</cp:lastModifiedBy>
  <cp:revision/>
  <dcterms:created xsi:type="dcterms:W3CDTF">2018-12-05T18:28:55Z</dcterms:created>
  <dcterms:modified xsi:type="dcterms:W3CDTF">2026-01-16T12:38:42Z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0x0101004FCC5D8E2EBBC348BC170B007B77D5BE</vt:lpwstr>
  </property>
  <property fmtid="{D5CDD505-2E9C-101B-9397-08002B2CF9AE}" pid="3" name="AuthorIds_UIVersion_2048">
    <vt:lpwstr>15</vt:lpwstr>
  </property>
  <property fmtid="{D5CDD505-2E9C-101B-9397-08002B2CF9AE}" pid="4" name="MediaServiceImageTags">
    <vt:lpwstr/>
  </property>
</Properties>
</file>